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總覽" sheetId="1" state="visible" r:id="rId1"/>
    <sheet xmlns:r="http://schemas.openxmlformats.org/officeDocument/2006/relationships" name="任務清單" sheetId="2" state="visible" r:id="rId2"/>
    <sheet xmlns:r="http://schemas.openxmlformats.org/officeDocument/2006/relationships" name="甘特圖" sheetId="3" state="visible" r:id="rId3"/>
    <sheet xmlns:r="http://schemas.openxmlformats.org/officeDocument/2006/relationships" name="週報" sheetId="4" state="visible" r:id="rId4"/>
    <sheet xmlns:r="http://schemas.openxmlformats.org/officeDocument/2006/relationships" name="統計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&quot;%&quot;"/>
    <numFmt numFmtId="167" formatCode="mm/dd"/>
  </numFmts>
  <fonts count="10">
    <font>
      <name val="Calibri"/>
      <family val="2"/>
      <color theme="1"/>
      <sz val="11"/>
      <scheme val="minor"/>
    </font>
    <font>
      <name val="微軟正黑體"/>
      <b val="1"/>
    </font>
    <font>
      <name val="微軟正黑體"/>
      <b val="1"/>
      <sz val="12"/>
    </font>
    <font>
      <name val="微軟正黑體"/>
      <b val="1"/>
      <color rgb="000066CC"/>
      <sz val="36"/>
    </font>
    <font>
      <name val="微軟正黑體"/>
      <b val="1"/>
      <color rgb="0000CC00"/>
      <sz val="36"/>
    </font>
    <font>
      <name val="微軟正黑體"/>
      <b val="1"/>
      <color rgb="00FF9900"/>
      <sz val="36"/>
    </font>
    <font>
      <name val="微軟正黑體"/>
      <b val="1"/>
      <color rgb="00FF0000"/>
      <sz val="36"/>
    </font>
    <font>
      <name val="微軟正黑體"/>
      <b val="1"/>
      <color rgb="00FFFFFF"/>
    </font>
    <font>
      <name val="微軟正黑體"/>
      <b val="1"/>
      <sz val="8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0066CC"/>
        <bgColor rgb="000066CC"/>
      </patternFill>
    </fill>
    <fill>
      <patternFill patternType="solid">
        <fgColor rgb="0000CC00"/>
        <bgColor rgb="0000CC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6" fontId="0" fillId="0" borderId="0" pivotButton="0" quotePrefix="0" xfId="0"/>
    <xf numFmtId="167" fontId="8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3" borderId="0" pivotButton="0" quotePrefix="0" xfId="0"/>
    <xf numFmtId="0" fontId="9" fillId="6" borderId="0" pivotButton="0" quotePrefix="0" xfId="0"/>
  </cellXfs>
  <cellStyles count="1">
    <cellStyle name="Normal" xfId="0" builtinId="0" hidden="0"/>
  </cellStyles>
  <dxfs count="11"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FF00"/>
          <bgColor rgb="0000FF00"/>
        </patternFill>
      </fill>
    </dxf>
    <dxf>
      <fill>
        <patternFill patternType="solid">
          <fgColor rgb="00CCCCCC"/>
          <bgColor rgb="00CCCCCC"/>
        </patternFill>
      </fill>
    </dxf>
    <dxf>
      <font>
        <color rgb="00FFFFFF"/>
      </font>
      <fill>
        <patternFill patternType="solid">
          <fgColor rgb="000066CC"/>
          <bgColor rgb="000066CC"/>
        </patternFill>
      </fill>
    </dxf>
    <dxf>
      <font>
        <color rgb="00FFFFFF"/>
      </font>
      <fill>
        <patternFill patternType="solid">
          <fgColor rgb="00FF9900"/>
          <bgColor rgb="00FF9900"/>
        </patternFill>
      </fill>
    </dxf>
    <dxf>
      <font>
        <color rgb="00FFFFFF"/>
      </font>
      <fill>
        <patternFill patternType="solid">
          <fgColor rgb="0000CC00"/>
          <bgColor rgb="0000CC00"/>
        </patternFill>
      </fill>
    </dxf>
    <dxf>
      <font>
        <b val="1"/>
        <color rgb="00FF0000"/>
      </font>
    </dxf>
    <dxf>
      <fill>
        <patternFill patternType="solid">
          <fgColor rgb="000066CC"/>
          <bgColor rgb="000066CC"/>
        </patternFill>
      </fill>
    </dxf>
    <dxf>
      <fill>
        <patternFill patternType="solid">
          <fgColor rgb="00003366"/>
          <bgColor rgb="00003366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任務狀態分布</a:t>
            </a:r>
          </a:p>
        </rich>
      </tx>
    </title>
    <plotArea>
      <pieChart>
        <varyColors val="1"/>
        <ser>
          <idx val="0"/>
          <order val="0"/>
          <tx>
            <strRef>
              <f>'統計分析'!B1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'統計分析'!$A$2:$A$5</f>
            </numRef>
          </cat>
          <val>
            <numRef>
              <f>'統計分析'!$B$2:$B$5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優先級分布</a:t>
            </a:r>
          </a:p>
        </rich>
      </tx>
    </title>
    <plotArea>
      <pieChart>
        <varyColors val="1"/>
        <ser>
          <idx val="0"/>
          <order val="0"/>
          <tx>
            <strRef>
              <f>'統計分析'!E1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'統計分析'!$D$2:$D$4</f>
            </numRef>
          </cat>
          <val>
            <numRef>
              <f>'統計分析'!$E$2:$E$4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團隊成員工作量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'統計分析'!H1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'統計分析'!$G$2:$G$6</f>
            </numRef>
          </cat>
          <val>
            <numRef>
              <f>'統計分析'!$H$2:$H$6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負責人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任務數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類別分布</a:t>
            </a:r>
          </a:p>
        </rich>
      </tx>
    </title>
    <plotArea>
      <pieChart>
        <varyColors val="1"/>
        <ser>
          <idx val="0"/>
          <order val="0"/>
          <tx>
            <strRef>
              <f>'統計分析'!L1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'統計分析'!$K$2:$K$4</f>
            </numRef>
          </cat>
          <val>
            <numRef>
              <f>'統計分析'!$L$2:$L$4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專案名稱</t>
        </is>
      </c>
      <c r="B1" t="inlineStr">
        <is>
          <t>I&amp;C Project Management</t>
        </is>
      </c>
    </row>
    <row r="2">
      <c r="A2" s="1" t="inlineStr">
        <is>
          <t>專案經理</t>
        </is>
      </c>
      <c r="B2" t="inlineStr">
        <is>
          <t>benchen1981@smail.nchu.edu.tw</t>
        </is>
      </c>
    </row>
    <row r="3">
      <c r="A3" s="1" t="inlineStr">
        <is>
          <t>開始日期</t>
        </is>
      </c>
      <c r="B3" s="2" t="n">
        <v>45658</v>
      </c>
    </row>
    <row r="4">
      <c r="A4" s="1" t="inlineStr">
        <is>
          <t>預計結束日期</t>
        </is>
      </c>
      <c r="B4" s="2" t="n">
        <v>45838</v>
      </c>
    </row>
    <row r="5">
      <c r="A5" s="1" t="inlineStr">
        <is>
          <t>實際結束日期</t>
        </is>
      </c>
      <c r="B5" t="inlineStr"/>
    </row>
    <row r="6">
      <c r="A6" s="1" t="inlineStr">
        <is>
          <t>專案狀態</t>
        </is>
      </c>
      <c r="B6" t="inlineStr">
        <is>
          <t>進行中</t>
        </is>
      </c>
    </row>
    <row r="7">
      <c r="A7" s="1" t="inlineStr">
        <is>
          <t>整體進度</t>
        </is>
      </c>
      <c r="B7">
        <f>IFERROR(COUNTIF(任務清單!F:F,"已完成")/COUNTA(任務清單!F2:F100)*100,0)&amp;"%"</f>
        <v/>
      </c>
    </row>
    <row r="9">
      <c r="A9" s="3" t="inlineStr">
        <is>
          <t>總任務數</t>
        </is>
      </c>
      <c r="C9" s="3" t="inlineStr">
        <is>
          <t>已完成</t>
        </is>
      </c>
    </row>
    <row r="10">
      <c r="A10" s="4">
        <f>COUNTA(任務清單!B2:B100)</f>
        <v/>
      </c>
      <c r="C10" s="5">
        <f>COUNTIF(任務清單!F:F,"已完成")</f>
        <v/>
      </c>
    </row>
    <row r="11"/>
    <row r="13">
      <c r="A13" s="3" t="inlineStr">
        <is>
          <t>進行中</t>
        </is>
      </c>
      <c r="C13" s="3" t="inlineStr">
        <is>
          <t>逾期任務</t>
        </is>
      </c>
    </row>
    <row r="14">
      <c r="A14" s="6">
        <f>COUNTIF(任務清單!F:F,"進行中")</f>
        <v/>
      </c>
      <c r="C14" s="7">
        <f>COUNTIFS(任務清單!E:E,"&lt;"&amp;TODAY(),任務清單!F:F,"&lt;&gt;已完成")</f>
        <v/>
      </c>
    </row>
    <row r="15"/>
  </sheetData>
  <mergeCells count="8">
    <mergeCell ref="C10:D11"/>
    <mergeCell ref="A10:B11"/>
    <mergeCell ref="A13:B13"/>
    <mergeCell ref="C13:D13"/>
    <mergeCell ref="A14:B15"/>
    <mergeCell ref="C9:D9"/>
    <mergeCell ref="A9:B9"/>
    <mergeCell ref="C14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30" customWidth="1" min="10" max="10"/>
  </cols>
  <sheetData>
    <row r="1">
      <c r="A1" s="8" t="inlineStr">
        <is>
          <t>任務ID</t>
        </is>
      </c>
      <c r="B1" s="8" t="inlineStr">
        <is>
          <t>任務名稱</t>
        </is>
      </c>
      <c r="C1" s="8" t="inlineStr">
        <is>
          <t>負責人</t>
        </is>
      </c>
      <c r="D1" s="8" t="inlineStr">
        <is>
          <t>優先級</t>
        </is>
      </c>
      <c r="E1" s="8" t="inlineStr">
        <is>
          <t>截止日期</t>
        </is>
      </c>
      <c r="F1" s="8" t="inlineStr">
        <is>
          <t>狀態</t>
        </is>
      </c>
      <c r="G1" s="8" t="inlineStr">
        <is>
          <t>完成日期</t>
        </is>
      </c>
      <c r="H1" s="8" t="inlineStr">
        <is>
          <t>進度%</t>
        </is>
      </c>
      <c r="I1" s="8" t="inlineStr">
        <is>
          <t>類別</t>
        </is>
      </c>
      <c r="J1" s="8" t="inlineStr">
        <is>
          <t>備註</t>
        </is>
      </c>
    </row>
    <row r="2">
      <c r="A2" t="inlineStr">
        <is>
          <t>001</t>
        </is>
      </c>
      <c r="B2" t="inlineStr">
        <is>
          <t>撰寫專案章程</t>
        </is>
      </c>
      <c r="C2" t="inlineStr">
        <is>
          <t>專案經理</t>
        </is>
      </c>
      <c r="D2" t="inlineStr">
        <is>
          <t>🔴高</t>
        </is>
      </c>
      <c r="E2" s="2" t="n">
        <v>45662</v>
      </c>
      <c r="F2" t="inlineStr">
        <is>
          <t>已完成</t>
        </is>
      </c>
      <c r="G2" s="2" t="n">
        <v>45661</v>
      </c>
      <c r="H2" s="9" t="n">
        <v>100</v>
      </c>
      <c r="I2" t="inlineStr">
        <is>
          <t>文件</t>
        </is>
      </c>
      <c r="J2" t="inlineStr">
        <is>
          <t>已完成並審核</t>
        </is>
      </c>
    </row>
    <row r="3">
      <c r="A3" t="inlineStr">
        <is>
          <t>002</t>
        </is>
      </c>
      <c r="B3" t="inlineStr">
        <is>
          <t>建立WBS</t>
        </is>
      </c>
      <c r="C3" t="inlineStr">
        <is>
          <t>專案經理</t>
        </is>
      </c>
      <c r="D3" t="inlineStr">
        <is>
          <t>🔴高</t>
        </is>
      </c>
      <c r="E3" s="2" t="n">
        <v>45663</v>
      </c>
      <c r="F3" t="inlineStr">
        <is>
          <t>進行中</t>
        </is>
      </c>
      <c r="G3" t="inlineStr"/>
      <c r="H3" s="9" t="n">
        <v>60</v>
      </c>
      <c r="I3" t="inlineStr">
        <is>
          <t>管理</t>
        </is>
      </c>
      <c r="J3" t="inlineStr"/>
    </row>
    <row r="4">
      <c r="A4" t="inlineStr">
        <is>
          <t>003</t>
        </is>
      </c>
      <c r="B4" t="inlineStr">
        <is>
          <t>利害關係人訪談</t>
        </is>
      </c>
      <c r="C4" t="inlineStr">
        <is>
          <t>張三</t>
        </is>
      </c>
      <c r="D4" t="inlineStr">
        <is>
          <t>🟡中</t>
        </is>
      </c>
      <c r="E4" s="2" t="n">
        <v>45665</v>
      </c>
      <c r="F4" t="inlineStr">
        <is>
          <t>待辦</t>
        </is>
      </c>
      <c r="G4" t="inlineStr"/>
      <c r="H4" s="9" t="n">
        <v>0</v>
      </c>
      <c r="I4" t="inlineStr">
        <is>
          <t>管理</t>
        </is>
      </c>
      <c r="J4" t="inlineStr"/>
    </row>
    <row r="5">
      <c r="A5" t="inlineStr">
        <is>
          <t>004</t>
        </is>
      </c>
      <c r="B5" t="inlineStr">
        <is>
          <t>任務優先級排序</t>
        </is>
      </c>
      <c r="C5" t="inlineStr">
        <is>
          <t>李四</t>
        </is>
      </c>
      <c r="D5" t="inlineStr">
        <is>
          <t>🔴高</t>
        </is>
      </c>
      <c r="E5" s="2" t="n">
        <v>45667</v>
      </c>
      <c r="F5" t="inlineStr">
        <is>
          <t>待辦</t>
        </is>
      </c>
      <c r="G5" t="inlineStr"/>
      <c r="H5" s="9" t="n">
        <v>0</v>
      </c>
      <c r="I5" t="inlineStr">
        <is>
          <t>管理</t>
        </is>
      </c>
      <c r="J5" t="inlineStr"/>
    </row>
    <row r="6">
      <c r="A6" t="inlineStr">
        <is>
          <t>005</t>
        </is>
      </c>
      <c r="B6" t="inlineStr">
        <is>
          <t>設定專案里程碑</t>
        </is>
      </c>
      <c r="C6" t="inlineStr">
        <is>
          <t>專案經理</t>
        </is>
      </c>
      <c r="D6" t="inlineStr">
        <is>
          <t>🔴高</t>
        </is>
      </c>
      <c r="E6" s="2" t="n">
        <v>45669</v>
      </c>
      <c r="F6" t="inlineStr">
        <is>
          <t>待辦</t>
        </is>
      </c>
      <c r="G6" t="inlineStr"/>
      <c r="H6" s="9" t="n">
        <v>0</v>
      </c>
      <c r="I6" t="inlineStr">
        <is>
          <t>管理</t>
        </is>
      </c>
      <c r="J6" t="inlineStr"/>
    </row>
    <row r="7">
      <c r="A7" t="inlineStr">
        <is>
          <t>006</t>
        </is>
      </c>
      <c r="B7" t="inlineStr">
        <is>
          <t>每日站立會議</t>
        </is>
      </c>
      <c r="C7" t="inlineStr">
        <is>
          <t>專案經理</t>
        </is>
      </c>
      <c r="D7" t="inlineStr">
        <is>
          <t>🔴高</t>
        </is>
      </c>
      <c r="E7" s="2" t="n">
        <v>46022</v>
      </c>
      <c r="F7" t="inlineStr">
        <is>
          <t>進行中</t>
        </is>
      </c>
      <c r="G7" t="inlineStr"/>
      <c r="H7" s="9" t="n">
        <v>50</v>
      </c>
      <c r="I7" t="inlineStr">
        <is>
          <t>管理</t>
        </is>
      </c>
      <c r="J7" t="inlineStr">
        <is>
          <t>每日重複</t>
        </is>
      </c>
    </row>
    <row r="8">
      <c r="A8" t="inlineStr">
        <is>
          <t>007</t>
        </is>
      </c>
      <c r="B8" t="inlineStr">
        <is>
          <t>週進度檢討會議</t>
        </is>
      </c>
      <c r="C8" t="inlineStr">
        <is>
          <t>專案經理</t>
        </is>
      </c>
      <c r="D8" t="inlineStr">
        <is>
          <t>🔴高</t>
        </is>
      </c>
      <c r="E8" s="2" t="n">
        <v>46022</v>
      </c>
      <c r="F8" t="inlineStr">
        <is>
          <t>進行中</t>
        </is>
      </c>
      <c r="G8" t="inlineStr"/>
      <c r="H8" s="9" t="n">
        <v>50</v>
      </c>
      <c r="I8" t="inlineStr">
        <is>
          <t>管理</t>
        </is>
      </c>
      <c r="J8" t="inlineStr">
        <is>
          <t>每週重複</t>
        </is>
      </c>
    </row>
    <row r="9">
      <c r="A9" t="inlineStr">
        <is>
          <t>008</t>
        </is>
      </c>
      <c r="B9" t="inlineStr">
        <is>
          <t>技術架構設計</t>
        </is>
      </c>
      <c r="C9" t="inlineStr">
        <is>
          <t>王五</t>
        </is>
      </c>
      <c r="D9" t="inlineStr">
        <is>
          <t>🔴高</t>
        </is>
      </c>
      <c r="E9" s="2" t="n">
        <v>45672</v>
      </c>
      <c r="F9" t="inlineStr">
        <is>
          <t>待辦</t>
        </is>
      </c>
      <c r="G9" t="inlineStr"/>
      <c r="H9" s="9" t="n">
        <v>0</v>
      </c>
      <c r="I9" t="inlineStr">
        <is>
          <t>技術</t>
        </is>
      </c>
      <c r="J9" t="inlineStr"/>
    </row>
    <row r="10">
      <c r="A10" t="inlineStr">
        <is>
          <t>009</t>
        </is>
      </c>
      <c r="B10" t="inlineStr">
        <is>
          <t>資料庫設計</t>
        </is>
      </c>
      <c r="C10" t="inlineStr">
        <is>
          <t>趙六</t>
        </is>
      </c>
      <c r="D10" t="inlineStr">
        <is>
          <t>🟡中</t>
        </is>
      </c>
      <c r="E10" s="2" t="n">
        <v>45677</v>
      </c>
      <c r="F10" t="inlineStr">
        <is>
          <t>待辦</t>
        </is>
      </c>
      <c r="G10" t="inlineStr"/>
      <c r="H10" s="9" t="n">
        <v>0</v>
      </c>
      <c r="I10" t="inlineStr">
        <is>
          <t>技術</t>
        </is>
      </c>
      <c r="J10" t="inlineStr"/>
    </row>
    <row r="11">
      <c r="A11" t="inlineStr">
        <is>
          <t>010</t>
        </is>
      </c>
      <c r="B11" t="inlineStr">
        <is>
          <t>前端介面設計</t>
        </is>
      </c>
      <c r="C11" t="inlineStr">
        <is>
          <t>張三</t>
        </is>
      </c>
      <c r="D11" t="inlineStr">
        <is>
          <t>🟡中</t>
        </is>
      </c>
      <c r="E11" s="2" t="n">
        <v>45682</v>
      </c>
      <c r="F11" t="inlineStr">
        <is>
          <t>待辦</t>
        </is>
      </c>
      <c r="G11" t="inlineStr"/>
      <c r="H11" s="9" t="n">
        <v>0</v>
      </c>
      <c r="I11" t="inlineStr">
        <is>
          <t>技術</t>
        </is>
      </c>
      <c r="J11" t="inlineStr"/>
    </row>
  </sheetData>
  <conditionalFormatting sqref="D2:D100">
    <cfRule type="cellIs" priority="1" operator="equal" dxfId="0">
      <formula>"🔴高"</formula>
    </cfRule>
    <cfRule type="cellIs" priority="2" operator="equal" dxfId="1">
      <formula>"🟡中"</formula>
    </cfRule>
    <cfRule type="cellIs" priority="3" operator="equal" dxfId="2">
      <formula>"🟢低"</formula>
    </cfRule>
  </conditionalFormatting>
  <conditionalFormatting sqref="F2:F100">
    <cfRule type="cellIs" priority="4" operator="equal" dxfId="3">
      <formula>"待辦"</formula>
    </cfRule>
    <cfRule type="cellIs" priority="5" operator="equal" dxfId="4">
      <formula>"進行中"</formula>
    </cfRule>
    <cfRule type="cellIs" priority="6" operator="equal" dxfId="5">
      <formula>"審核中"</formula>
    </cfRule>
    <cfRule type="cellIs" priority="7" operator="equal" dxfId="6">
      <formula>"已完成"</formula>
    </cfRule>
  </conditionalFormatting>
  <conditionalFormatting sqref="E2:E100">
    <cfRule type="expression" priority="8" dxfId="7">
      <formula>AND($E2&lt;TODAY(),$F2&lt;&gt;"已完成")</formula>
    </cfRule>
    <cfRule type="expression" priority="9" dxfId="1">
      <formula>AND($E2&lt;=TODAY()+3,$E2&gt;=TODAY(),$F2&lt;&gt;"已完成")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0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</cols>
  <sheetData>
    <row r="1">
      <c r="A1" s="8" t="inlineStr">
        <is>
          <t>任務ID</t>
        </is>
      </c>
      <c r="B1" s="8" t="inlineStr">
        <is>
          <t>任務名稱</t>
        </is>
      </c>
      <c r="C1" s="8" t="inlineStr">
        <is>
          <t>負責人</t>
        </is>
      </c>
      <c r="D1" s="8" t="inlineStr">
        <is>
          <t>開始日期</t>
        </is>
      </c>
      <c r="E1" s="8" t="inlineStr">
        <is>
          <t>結束日期</t>
        </is>
      </c>
      <c r="F1" s="8" t="inlineStr">
        <is>
          <t>進度%</t>
        </is>
      </c>
      <c r="G1" s="10" t="n">
        <v>45658</v>
      </c>
      <c r="H1" s="10" t="n">
        <v>45659</v>
      </c>
      <c r="I1" s="10" t="n">
        <v>45660</v>
      </c>
      <c r="J1" s="10" t="n">
        <v>45661</v>
      </c>
      <c r="K1" s="10" t="n">
        <v>45662</v>
      </c>
      <c r="L1" s="10" t="n">
        <v>45663</v>
      </c>
      <c r="M1" s="10" t="n">
        <v>45664</v>
      </c>
      <c r="N1" s="10" t="n">
        <v>45665</v>
      </c>
      <c r="O1" s="10" t="n">
        <v>45666</v>
      </c>
      <c r="P1" s="10" t="n">
        <v>45667</v>
      </c>
      <c r="Q1" s="10" t="n">
        <v>45668</v>
      </c>
      <c r="R1" s="10" t="n">
        <v>45669</v>
      </c>
      <c r="S1" s="10" t="n">
        <v>45670</v>
      </c>
      <c r="T1" s="10" t="n">
        <v>45671</v>
      </c>
      <c r="U1" s="10" t="n">
        <v>45672</v>
      </c>
      <c r="V1" s="10" t="n">
        <v>45673</v>
      </c>
      <c r="W1" s="10" t="n">
        <v>45674</v>
      </c>
      <c r="X1" s="10" t="n">
        <v>45675</v>
      </c>
      <c r="Y1" s="10" t="n">
        <v>45676</v>
      </c>
      <c r="Z1" s="10" t="n">
        <v>45677</v>
      </c>
      <c r="AA1" s="10" t="n">
        <v>45678</v>
      </c>
      <c r="AB1" s="10" t="n">
        <v>45679</v>
      </c>
      <c r="AC1" s="10" t="n">
        <v>45680</v>
      </c>
      <c r="AD1" s="10" t="n">
        <v>45681</v>
      </c>
      <c r="AE1" s="10" t="n">
        <v>45682</v>
      </c>
      <c r="AF1" s="10" t="n">
        <v>45683</v>
      </c>
      <c r="AG1" s="10" t="n">
        <v>45684</v>
      </c>
      <c r="AH1" s="10" t="n">
        <v>45685</v>
      </c>
      <c r="AI1" s="10" t="n">
        <v>45686</v>
      </c>
      <c r="AJ1" s="10" t="n">
        <v>45687</v>
      </c>
      <c r="AK1" s="10" t="n">
        <v>45688</v>
      </c>
      <c r="AL1" s="10" t="n">
        <v>45689</v>
      </c>
      <c r="AM1" s="10" t="n">
        <v>45690</v>
      </c>
      <c r="AN1" s="10" t="n">
        <v>45691</v>
      </c>
      <c r="AO1" s="10" t="n">
        <v>45692</v>
      </c>
      <c r="AP1" s="10" t="n">
        <v>45693</v>
      </c>
      <c r="AQ1" s="10" t="n">
        <v>45694</v>
      </c>
      <c r="AR1" s="10" t="n">
        <v>45695</v>
      </c>
      <c r="AS1" s="10" t="n">
        <v>45696</v>
      </c>
      <c r="AT1" s="10" t="n">
        <v>45697</v>
      </c>
      <c r="AU1" s="10" t="n">
        <v>45698</v>
      </c>
      <c r="AV1" s="10" t="n">
        <v>45699</v>
      </c>
      <c r="AW1" s="10" t="n">
        <v>45700</v>
      </c>
      <c r="AX1" s="10" t="n">
        <v>45701</v>
      </c>
      <c r="AY1" s="10" t="n">
        <v>45702</v>
      </c>
      <c r="AZ1" s="10" t="n">
        <v>45703</v>
      </c>
      <c r="BA1" s="10" t="n">
        <v>45704</v>
      </c>
      <c r="BB1" s="10" t="n">
        <v>45705</v>
      </c>
      <c r="BC1" s="10" t="n">
        <v>45706</v>
      </c>
      <c r="BD1" s="10" t="n">
        <v>45707</v>
      </c>
      <c r="BE1" s="10" t="n">
        <v>45708</v>
      </c>
      <c r="BF1" s="10" t="n">
        <v>45709</v>
      </c>
      <c r="BG1" s="10" t="n">
        <v>45710</v>
      </c>
      <c r="BH1" s="10" t="n">
        <v>45711</v>
      </c>
      <c r="BI1" s="10" t="n">
        <v>45712</v>
      </c>
      <c r="BJ1" s="10" t="n">
        <v>45713</v>
      </c>
      <c r="BK1" s="10" t="n">
        <v>45714</v>
      </c>
      <c r="BL1" s="10" t="n">
        <v>45715</v>
      </c>
      <c r="BM1" s="10" t="n">
        <v>45716</v>
      </c>
      <c r="BN1" s="10" t="n">
        <v>45717</v>
      </c>
    </row>
    <row r="2">
      <c r="A2">
        <f>任務清單!A2</f>
        <v/>
      </c>
      <c r="B2">
        <f>任務清單!B2</f>
        <v/>
      </c>
      <c r="C2">
        <f>任務清單!C2</f>
        <v/>
      </c>
      <c r="D2">
        <f>任務清單!E2-7</f>
        <v/>
      </c>
      <c r="E2">
        <f>任務清單!E2</f>
        <v/>
      </c>
      <c r="F2" s="9">
        <f>任務清單!H2</f>
        <v/>
      </c>
    </row>
    <row r="3">
      <c r="A3">
        <f>任務清單!A3</f>
        <v/>
      </c>
      <c r="B3">
        <f>任務清單!B3</f>
        <v/>
      </c>
      <c r="C3">
        <f>任務清單!C3</f>
        <v/>
      </c>
      <c r="D3">
        <f>任務清單!E3-7</f>
        <v/>
      </c>
      <c r="E3">
        <f>任務清單!E3</f>
        <v/>
      </c>
      <c r="F3" s="9">
        <f>任務清單!H3</f>
        <v/>
      </c>
    </row>
    <row r="4">
      <c r="A4">
        <f>任務清單!A4</f>
        <v/>
      </c>
      <c r="B4">
        <f>任務清單!B4</f>
        <v/>
      </c>
      <c r="C4">
        <f>任務清單!C4</f>
        <v/>
      </c>
      <c r="D4">
        <f>任務清單!E4-7</f>
        <v/>
      </c>
      <c r="E4">
        <f>任務清單!E4</f>
        <v/>
      </c>
      <c r="F4" s="9">
        <f>任務清單!H4</f>
        <v/>
      </c>
    </row>
    <row r="5">
      <c r="A5">
        <f>任務清單!A5</f>
        <v/>
      </c>
      <c r="B5">
        <f>任務清單!B5</f>
        <v/>
      </c>
      <c r="C5">
        <f>任務清單!C5</f>
        <v/>
      </c>
      <c r="D5">
        <f>任務清單!E5-7</f>
        <v/>
      </c>
      <c r="E5">
        <f>任務清單!E5</f>
        <v/>
      </c>
      <c r="F5" s="9">
        <f>任務清單!H5</f>
        <v/>
      </c>
    </row>
    <row r="6">
      <c r="A6">
        <f>任務清單!A6</f>
        <v/>
      </c>
      <c r="B6">
        <f>任務清單!B6</f>
        <v/>
      </c>
      <c r="C6">
        <f>任務清單!C6</f>
        <v/>
      </c>
      <c r="D6">
        <f>任務清單!E6-7</f>
        <v/>
      </c>
      <c r="E6">
        <f>任務清單!E6</f>
        <v/>
      </c>
      <c r="F6" s="9">
        <f>任務清單!H6</f>
        <v/>
      </c>
    </row>
    <row r="7">
      <c r="A7">
        <f>任務清單!A7</f>
        <v/>
      </c>
      <c r="B7">
        <f>任務清單!B7</f>
        <v/>
      </c>
      <c r="C7">
        <f>任務清單!C7</f>
        <v/>
      </c>
      <c r="D7">
        <f>任務清單!E7-7</f>
        <v/>
      </c>
      <c r="E7">
        <f>任務清單!E7</f>
        <v/>
      </c>
      <c r="F7" s="9">
        <f>任務清單!H7</f>
        <v/>
      </c>
    </row>
    <row r="8">
      <c r="A8">
        <f>任務清單!A8</f>
        <v/>
      </c>
      <c r="B8">
        <f>任務清單!B8</f>
        <v/>
      </c>
      <c r="C8">
        <f>任務清單!C8</f>
        <v/>
      </c>
      <c r="D8">
        <f>任務清單!E8-7</f>
        <v/>
      </c>
      <c r="E8">
        <f>任務清單!E8</f>
        <v/>
      </c>
      <c r="F8" s="9">
        <f>任務清單!H8</f>
        <v/>
      </c>
    </row>
    <row r="9">
      <c r="A9">
        <f>任務清單!A9</f>
        <v/>
      </c>
      <c r="B9">
        <f>任務清單!B9</f>
        <v/>
      </c>
      <c r="C9">
        <f>任務清單!C9</f>
        <v/>
      </c>
      <c r="D9">
        <f>任務清單!E9-7</f>
        <v/>
      </c>
      <c r="E9">
        <f>任務清單!E9</f>
        <v/>
      </c>
      <c r="F9" s="9">
        <f>任務清單!H9</f>
        <v/>
      </c>
    </row>
    <row r="10">
      <c r="A10">
        <f>任務清單!A10</f>
        <v/>
      </c>
      <c r="B10">
        <f>任務清單!B10</f>
        <v/>
      </c>
      <c r="C10">
        <f>任務清單!C10</f>
        <v/>
      </c>
      <c r="D10">
        <f>任務清單!E10-7</f>
        <v/>
      </c>
      <c r="E10">
        <f>任務清單!E10</f>
        <v/>
      </c>
      <c r="F10" s="9">
        <f>任務清單!H10</f>
        <v/>
      </c>
    </row>
    <row r="11">
      <c r="A11">
        <f>任務清單!A11</f>
        <v/>
      </c>
      <c r="B11">
        <f>任務清單!B11</f>
        <v/>
      </c>
      <c r="C11">
        <f>任務清單!C11</f>
        <v/>
      </c>
      <c r="D11">
        <f>任務清單!E11-7</f>
        <v/>
      </c>
      <c r="E11">
        <f>任務清單!E11</f>
        <v/>
      </c>
      <c r="F11" s="9">
        <f>任務清單!H11</f>
        <v/>
      </c>
    </row>
  </sheetData>
  <conditionalFormatting sqref="G2:BZ100">
    <cfRule type="expression" priority="1" dxfId="8">
      <formula>AND($D2&lt;=G$1,G$1&lt;=$E2)</formula>
    </cfRule>
    <cfRule type="expression" priority="2" dxfId="9">
      <formula>AND($D2&lt;=G$1,G$1&lt;=$D2+($E2-$D2)*$F2/100)</formula>
    </cfRule>
    <cfRule type="expression" priority="3" dxfId="10">
      <formula>G$1=TODAY()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週報期間</t>
        </is>
      </c>
      <c r="B1">
        <f>TEXT(TODAY()-WEEKDAY(TODAY())+1,"yyyy/mm/dd") &amp; " - " &amp; TEXT(TODAY()-WEEKDAY(TODAY())+7,"yyyy/mm/dd")</f>
        <v/>
      </c>
    </row>
    <row r="2">
      <c r="A2" s="1" t="inlineStr">
        <is>
          <t>報告日期</t>
        </is>
      </c>
      <c r="B2" s="2">
        <f>TODAY()</f>
        <v/>
      </c>
    </row>
    <row r="3">
      <c r="A3" s="1" t="inlineStr">
        <is>
          <t>報告人</t>
        </is>
      </c>
      <c r="B3">
        <f>專案總覽!B2</f>
        <v/>
      </c>
    </row>
    <row r="5">
      <c r="A5" s="11" t="inlineStr">
        <is>
          <t>本週完成任務數</t>
        </is>
      </c>
      <c r="B5">
        <f>COUNTIFS(任務清單!G:G,"&gt;="&amp;TODAY()-7,任務清單!G:G,"&lt;="&amp;TODAY(),任務清單!F:F,"已完成")</f>
        <v/>
      </c>
    </row>
    <row r="6">
      <c r="A6" s="11" t="inlineStr">
        <is>
          <t>本週新增任務數</t>
        </is>
      </c>
      <c r="B6" t="inlineStr">
        <is>
          <t>0</t>
        </is>
      </c>
    </row>
    <row r="7">
      <c r="A7" s="11" t="inlineStr">
        <is>
          <t>本週逾期任務數</t>
        </is>
      </c>
      <c r="B7">
        <f>COUNTIFS(任務清單!E:E,"&lt;"&amp;TODAY(),任務清單!F:F,"&lt;&gt;已完成")</f>
        <v/>
      </c>
    </row>
    <row r="8">
      <c r="A8" s="11" t="inlineStr">
        <is>
          <t>整體進度變化</t>
        </is>
      </c>
      <c r="B8" t="inlineStr">
        <is>
          <t>0%</t>
        </is>
      </c>
    </row>
    <row r="10">
      <c r="A10" s="12" t="inlineStr">
        <is>
          <t>本週成就</t>
        </is>
      </c>
    </row>
    <row r="11">
      <c r="A11" t="inlineStr">
        <is>
          <t>[請輸入本週主要成就]</t>
        </is>
      </c>
    </row>
    <row r="12"/>
    <row r="13"/>
    <row r="15">
      <c r="A15" s="13" t="inlineStr">
        <is>
          <t>本週挑戰</t>
        </is>
      </c>
    </row>
    <row r="16">
      <c r="A16" t="inlineStr">
        <is>
          <t>[請輸入本週遇到的挑戰]</t>
        </is>
      </c>
    </row>
    <row r="17"/>
    <row r="18"/>
    <row r="20">
      <c r="A20" s="14" t="inlineStr">
        <is>
          <t>下週計畫</t>
        </is>
      </c>
    </row>
    <row r="21">
      <c r="A21" t="inlineStr">
        <is>
          <t>[請輸入下週計畫]</t>
        </is>
      </c>
    </row>
    <row r="22"/>
    <row r="23"/>
    <row r="25">
      <c r="A25" s="15" t="inlineStr">
        <is>
          <t>逾期任務清單</t>
        </is>
      </c>
    </row>
    <row r="26">
      <c r="A26" s="1" t="inlineStr">
        <is>
          <t>任務ID</t>
        </is>
      </c>
      <c r="B26" s="1" t="inlineStr">
        <is>
          <t>任務名稱</t>
        </is>
      </c>
      <c r="C26" s="1" t="inlineStr">
        <is>
          <t>負責人</t>
        </is>
      </c>
      <c r="D26" s="1" t="inlineStr">
        <is>
          <t>截止日期</t>
        </is>
      </c>
      <c r="E26" s="1" t="inlineStr">
        <is>
          <t>逾期天數</t>
        </is>
      </c>
      <c r="F26" s="1" t="inlineStr">
        <is>
          <t>狀態</t>
        </is>
      </c>
      <c r="G26" s="1" t="inlineStr">
        <is>
          <t>行動計畫</t>
        </is>
      </c>
    </row>
  </sheetData>
  <mergeCells count="7">
    <mergeCell ref="A21:J23"/>
    <mergeCell ref="A16:J18"/>
    <mergeCell ref="A15:J15"/>
    <mergeCell ref="A20:J20"/>
    <mergeCell ref="A11:J13"/>
    <mergeCell ref="A25:G25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狀態</t>
        </is>
      </c>
      <c r="B1" s="11" t="inlineStr">
        <is>
          <t>數量</t>
        </is>
      </c>
      <c r="D1" s="11" t="inlineStr">
        <is>
          <t>優先級</t>
        </is>
      </c>
      <c r="E1" s="11" t="inlineStr">
        <is>
          <t>數量</t>
        </is>
      </c>
      <c r="G1" s="11" t="inlineStr">
        <is>
          <t>負責人</t>
        </is>
      </c>
      <c r="H1" s="11" t="inlineStr">
        <is>
          <t>任務數</t>
        </is>
      </c>
      <c r="I1" s="11" t="inlineStr">
        <is>
          <t>已完成數</t>
        </is>
      </c>
      <c r="K1" s="11" t="inlineStr">
        <is>
          <t>類別</t>
        </is>
      </c>
      <c r="L1" s="11" t="inlineStr">
        <is>
          <t>數量</t>
        </is>
      </c>
    </row>
    <row r="2">
      <c r="A2" t="inlineStr">
        <is>
          <t>待辦</t>
        </is>
      </c>
      <c r="B2">
        <f>COUNTIF(任務清單!F:F,"待辦")</f>
        <v/>
      </c>
      <c r="D2" t="inlineStr">
        <is>
          <t>🔴高</t>
        </is>
      </c>
      <c r="E2">
        <f>COUNTIF(任務清單!D:D,"🔴高")</f>
        <v/>
      </c>
      <c r="G2" t="inlineStr">
        <is>
          <t>張三</t>
        </is>
      </c>
      <c r="H2">
        <f>COUNTIF(任務清單!C:C,"張三")</f>
        <v/>
      </c>
      <c r="I2">
        <f>COUNTIFS(任務清單!C:C,"張三",任務清單!F:F,"已完成")</f>
        <v/>
      </c>
      <c r="K2" t="inlineStr">
        <is>
          <t>管理</t>
        </is>
      </c>
      <c r="L2">
        <f>COUNTIF(任務清單!I:I,"管理")</f>
        <v/>
      </c>
    </row>
    <row r="3">
      <c r="A3" t="inlineStr">
        <is>
          <t>進行中</t>
        </is>
      </c>
      <c r="B3">
        <f>COUNTIF(任務清單!F:F,"進行中")</f>
        <v/>
      </c>
      <c r="D3" t="inlineStr">
        <is>
          <t>🟡中</t>
        </is>
      </c>
      <c r="E3">
        <f>COUNTIF(任務清單!D:D,"🟡中")</f>
        <v/>
      </c>
      <c r="G3" t="inlineStr">
        <is>
          <t>李四</t>
        </is>
      </c>
      <c r="H3">
        <f>COUNTIF(任務清單!C:C,"李四")</f>
        <v/>
      </c>
      <c r="I3">
        <f>COUNTIFS(任務清單!C:C,"李四",任務清單!F:F,"已完成")</f>
        <v/>
      </c>
      <c r="K3" t="inlineStr">
        <is>
          <t>技術</t>
        </is>
      </c>
      <c r="L3">
        <f>COUNTIF(任務清單!I:I,"技術")</f>
        <v/>
      </c>
    </row>
    <row r="4">
      <c r="A4" t="inlineStr">
        <is>
          <t>審核中</t>
        </is>
      </c>
      <c r="B4">
        <f>COUNTIF(任務清單!F:F,"審核中")</f>
        <v/>
      </c>
      <c r="D4" t="inlineStr">
        <is>
          <t>🟢低</t>
        </is>
      </c>
      <c r="E4">
        <f>COUNTIF(任務清單!D:D,"🟢低")</f>
        <v/>
      </c>
      <c r="G4" t="inlineStr">
        <is>
          <t>王五</t>
        </is>
      </c>
      <c r="H4">
        <f>COUNTIF(任務清單!C:C,"王五")</f>
        <v/>
      </c>
      <c r="I4">
        <f>COUNTIFS(任務清單!C:C,"王五",任務清單!F:F,"已完成")</f>
        <v/>
      </c>
      <c r="K4" t="inlineStr">
        <is>
          <t>文件</t>
        </is>
      </c>
      <c r="L4">
        <f>COUNTIF(任務清單!I:I,"文件")</f>
        <v/>
      </c>
    </row>
    <row r="5">
      <c r="A5" t="inlineStr">
        <is>
          <t>已完成</t>
        </is>
      </c>
      <c r="B5">
        <f>COUNTIF(任務清單!F:F,"已完成")</f>
        <v/>
      </c>
      <c r="G5" t="inlineStr">
        <is>
          <t>趙六</t>
        </is>
      </c>
      <c r="H5">
        <f>COUNTIF(任務清單!C:C,"趙六")</f>
        <v/>
      </c>
      <c r="I5">
        <f>COUNTIFS(任務清單!C:C,"趙六",任務清單!F:F,"已完成")</f>
        <v/>
      </c>
    </row>
    <row r="6">
      <c r="G6" t="inlineStr">
        <is>
          <t>專案經理</t>
        </is>
      </c>
      <c r="H6">
        <f>COUNTIF(任務清單!C:C,"專案經理")</f>
        <v/>
      </c>
      <c r="I6">
        <f>COUNTIFS(任務清單!C:C,"專案經理",任務清單!F:F,"已完成")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2025-12-30T03:08:34Z</dcterms:created>
  <dcterms:modified xmlns:dcterms="http://purl.org/dc/terms/" xmlns:xsi="http://www.w3.org/2001/XMLSchema-instance" xsi:type="dcterms:W3CDTF">2025-12-30T03:08:34Z</dcterms:modified>
</cp:coreProperties>
</file>