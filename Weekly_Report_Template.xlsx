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微軟正黑體"/>
      <b val="1"/>
      <color rgb="00FFFFFF"/>
      <sz val="20"/>
    </font>
    <font>
      <name val="微軟正黑體"/>
      <b val="1"/>
      <color rgb="00FFFFFF"/>
      <sz val="14"/>
    </font>
    <font>
      <name val="微軟正黑體"/>
      <b val="1"/>
    </font>
    <font>
      <name val="微軟正黑體"/>
      <b val="1"/>
      <color rgb="00FFFFFF"/>
      <sz val="12"/>
    </font>
    <font>
      <name val="微軟正黑體"/>
      <b val="1"/>
      <sz val="10"/>
    </font>
    <font>
      <name val="微軟正黑體"/>
      <b val="1"/>
      <color rgb="0000CC00"/>
      <sz val="24"/>
    </font>
    <font>
      <name val="微軟正黑體"/>
      <b val="1"/>
      <color rgb="000066CC"/>
      <sz val="24"/>
    </font>
    <font>
      <name val="微軟正黑體"/>
      <b val="1"/>
      <color rgb="00FF0000"/>
      <sz val="24"/>
    </font>
    <font>
      <name val="微軟正黑體"/>
      <b val="1"/>
      <color rgb="00FF9900"/>
      <sz val="24"/>
    </font>
    <font>
      <name val="微軟正黑體"/>
      <b val="1"/>
      <color rgb="004472C4"/>
      <sz val="24"/>
    </font>
    <font>
      <name val="微軟正黑體"/>
      <b val="1"/>
      <color rgb="00CCCCCC"/>
      <sz val="24"/>
    </font>
    <font>
      <name val="微軟正黑體"/>
      <b val="1"/>
      <color rgb="00FFFFFF"/>
    </font>
    <font>
      <name val="微軟正黑體"/>
      <i val="1"/>
      <color rgb="00999999"/>
    </font>
    <font>
      <name val="微軟正黑體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00CC00"/>
        <bgColor rgb="0000CC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5" customHeight="1">
      <c r="A1" s="1" t="inlineStr">
        <is>
          <t>I&amp;C Project Management</t>
        </is>
      </c>
    </row>
    <row r="2" ht="25" customHeight="1">
      <c r="A2" s="2" t="inlineStr">
        <is>
          <t>週進度報告 (Weekly Progress Report)</t>
        </is>
      </c>
    </row>
    <row r="4">
      <c r="A4" s="3" t="inlineStr">
        <is>
          <t>週報期間</t>
        </is>
      </c>
      <c r="B4" s="4">
        <f>TEXT(TODAY()-WEEKDAY(TODAY())+1,"yyyy/mm/dd") &amp; " - " &amp; TEXT(TODAY()-WEEKDAY(TODAY())+7,"yyyy/mm/dd")</f>
        <v/>
      </c>
    </row>
    <row r="5">
      <c r="A5" s="3" t="inlineStr">
        <is>
          <t>報告日期</t>
        </is>
      </c>
      <c r="B5" s="5">
        <f>TODAY()</f>
        <v/>
      </c>
    </row>
    <row r="6">
      <c r="A6" s="3" t="inlineStr">
        <is>
          <t>報告人</t>
        </is>
      </c>
      <c r="B6" s="4" t="inlineStr">
        <is>
          <t>benchen1981@smail.nchu.edu.tw</t>
        </is>
      </c>
    </row>
    <row r="7">
      <c r="A7" s="3" t="inlineStr">
        <is>
          <t>專案狀態</t>
        </is>
      </c>
      <c r="B7" s="4" t="inlineStr">
        <is>
          <t>進行中</t>
        </is>
      </c>
    </row>
    <row r="9">
      <c r="A9" s="6" t="inlineStr">
        <is>
          <t>📊 本週關鍵指標 (Key Metrics)</t>
        </is>
      </c>
    </row>
    <row r="11">
      <c r="A11" s="7" t="inlineStr">
        <is>
          <t>本週完成任務數</t>
        </is>
      </c>
      <c r="B11" s="8">
        <f>COUNTIFS(Dashboard.xlsx!任務清單!G:G,"&gt;="&amp;TODAY()-7,Dashboard.xlsx!任務清單!G:G,"&lt;="&amp;TODAY(),Dashboard.xlsx!任務清單!F:F,"已完成")</f>
        <v/>
      </c>
      <c r="D11" s="7" t="inlineStr">
        <is>
          <t>本週新增任務數</t>
        </is>
      </c>
      <c r="E11" s="9" t="inlineStr">
        <is>
          <t>0</t>
        </is>
      </c>
      <c r="G11" s="7" t="inlineStr">
        <is>
          <t>本週逾期任務數</t>
        </is>
      </c>
      <c r="H11" s="10">
        <f>COUNTIFS(Dashboard.xlsx!任務清單!E:E,"&lt;"&amp;TODAY(),Dashboard.xlsx!任務清單!F:F,"&lt;&gt;已完成")</f>
        <v/>
      </c>
    </row>
    <row r="13">
      <c r="A13" s="7" t="inlineStr">
        <is>
          <t>整體進度</t>
        </is>
      </c>
      <c r="B13" s="11">
        <f>IFERROR(COUNTIF(Dashboard.xlsx!任務清單!F:F,"已完成")/COUNTA(Dashboard.xlsx!任務清單!F2:F100)*100,0)&amp;"%"</f>
        <v/>
      </c>
      <c r="D13" s="7" t="inlineStr">
        <is>
          <t>進行中任務</t>
        </is>
      </c>
      <c r="E13" s="12">
        <f>COUNTIF(Dashboard.xlsx!任務清單!F:F,"進行中")</f>
        <v/>
      </c>
      <c r="G13" s="7" t="inlineStr">
        <is>
          <t>待辦任務</t>
        </is>
      </c>
      <c r="H13" s="13">
        <f>COUNTIF(Dashboard.xlsx!任務清單!F:F,"待辦")</f>
        <v/>
      </c>
    </row>
    <row r="16">
      <c r="A16" s="14" t="inlineStr">
        <is>
          <t>✅ 本週成就 (Achievements)</t>
        </is>
      </c>
    </row>
    <row r="17" ht="60" customHeight="1">
      <c r="A17" s="15" t="inlineStr">
        <is>
          <t>• [請輸入本週主要成就 1]
• [請輸入本週主要成就 2]
• [請輸入本週主要成就 3]</t>
        </is>
      </c>
    </row>
    <row r="18"/>
    <row r="19"/>
    <row r="20"/>
    <row r="22">
      <c r="A22" s="16" t="inlineStr">
        <is>
          <t>⚠️ 本週挑戰 (Challenges)</t>
        </is>
      </c>
    </row>
    <row r="23" ht="60" customHeight="1">
      <c r="A23" s="15" t="inlineStr">
        <is>
          <t>• [請輸入本週遇到的挑戰 1]
• [請輸入本週遇到的挑戰 2]
• [請輸入本週遇到的挑戰 3]</t>
        </is>
      </c>
    </row>
    <row r="24"/>
    <row r="25"/>
    <row r="26"/>
    <row r="28">
      <c r="A28" s="6" t="inlineStr">
        <is>
          <t>🎯 下週計畫 (Next Week Plan)</t>
        </is>
      </c>
    </row>
    <row r="29" ht="60" customHeight="1">
      <c r="A29" s="15" t="inlineStr">
        <is>
          <t>• [請輸入下週計畫 1]
• [請輸入下週計畫 2]
• [請輸入下週計畫 3]</t>
        </is>
      </c>
    </row>
    <row r="30"/>
    <row r="31"/>
    <row r="32"/>
    <row r="34">
      <c r="A34" s="17" t="inlineStr">
        <is>
          <t>🔴 逾期任務清單 (Overdue Tasks)</t>
        </is>
      </c>
    </row>
    <row r="35">
      <c r="A35" s="18" t="inlineStr">
        <is>
          <t>任務ID</t>
        </is>
      </c>
      <c r="B35" s="18" t="inlineStr">
        <is>
          <t>任務名稱</t>
        </is>
      </c>
      <c r="C35" s="18" t="inlineStr">
        <is>
          <t>負責人</t>
        </is>
      </c>
      <c r="D35" s="18" t="inlineStr">
        <is>
          <t>截止日期</t>
        </is>
      </c>
      <c r="E35" s="18" t="inlineStr">
        <is>
          <t>逾期天數</t>
        </is>
      </c>
      <c r="F35" s="18" t="inlineStr">
        <is>
          <t>狀態</t>
        </is>
      </c>
      <c r="G35" s="18" t="inlineStr">
        <is>
          <t>優先級</t>
        </is>
      </c>
      <c r="H35" s="18" t="inlineStr">
        <is>
          <t>行動計畫</t>
        </is>
      </c>
    </row>
    <row r="36">
      <c r="A36" s="19" t="inlineStr">
        <is>
          <t>[自動從 Dashboard 篩選逾期任務]</t>
        </is>
      </c>
    </row>
    <row r="38">
      <c r="A38" s="17" t="inlineStr">
        <is>
          <t>⚡ 風險與議題 (Risks &amp; Issues)</t>
        </is>
      </c>
    </row>
    <row r="39">
      <c r="A39" s="20" t="inlineStr">
        <is>
          <t>風險/議題</t>
        </is>
      </c>
      <c r="B39" s="20" t="inlineStr">
        <is>
          <t>影響程度</t>
        </is>
      </c>
      <c r="C39" s="20" t="inlineStr">
        <is>
          <t>發生機率</t>
        </is>
      </c>
      <c r="D39" s="20" t="inlineStr">
        <is>
          <t>應對措施</t>
        </is>
      </c>
      <c r="E39" s="20" t="inlineStr">
        <is>
          <t>負責人</t>
        </is>
      </c>
      <c r="F39" s="20" t="inlineStr">
        <is>
          <t>狀態</t>
        </is>
      </c>
    </row>
    <row r="40">
      <c r="A40" t="inlineStr">
        <is>
          <t>[請輸入風險或議題]</t>
        </is>
      </c>
      <c r="B40" t="inlineStr">
        <is>
          <t>高/中/低</t>
        </is>
      </c>
      <c r="C40" t="inlineStr">
        <is>
          <t>高/中/低</t>
        </is>
      </c>
      <c r="D40" t="inlineStr">
        <is>
          <t>[應對措施]</t>
        </is>
      </c>
      <c r="E40" t="inlineStr">
        <is>
          <t>[負責人]</t>
        </is>
      </c>
      <c r="F40" t="inlineStr">
        <is>
          <t>進行中</t>
        </is>
      </c>
    </row>
    <row r="43">
      <c r="A43" s="6" t="inlineStr">
        <is>
          <t>👥 團隊成員工作量 (Team Workload)</t>
        </is>
      </c>
    </row>
    <row r="44">
      <c r="A44" s="18" t="inlineStr">
        <is>
          <t>成員</t>
        </is>
      </c>
      <c r="B44" s="18" t="inlineStr">
        <is>
          <t>總任務數</t>
        </is>
      </c>
      <c r="C44" s="18" t="inlineStr">
        <is>
          <t>已完成</t>
        </is>
      </c>
      <c r="D44" s="18" t="inlineStr">
        <is>
          <t>進行中</t>
        </is>
      </c>
      <c r="E44" s="18" t="inlineStr">
        <is>
          <t>待辦</t>
        </is>
      </c>
      <c r="F44" s="18" t="inlineStr">
        <is>
          <t>完成率</t>
        </is>
      </c>
      <c r="G44" s="18" t="inlineStr">
        <is>
          <t>工作負荷</t>
        </is>
      </c>
    </row>
    <row r="45">
      <c r="A45" t="inlineStr">
        <is>
          <t>張三</t>
        </is>
      </c>
      <c r="B45">
        <f>COUNTIF(Dashboard.xlsx!任務清單!C:C,"張三")</f>
        <v/>
      </c>
      <c r="C45">
        <f>COUNTIFS(Dashboard.xlsx!任務清單!C:C,"張三",Dashboard.xlsx!任務清單!F:F,"已完成")</f>
        <v/>
      </c>
      <c r="D45">
        <f>COUNTIFS(Dashboard.xlsx!任務清單!C:C,"張三",Dashboard.xlsx!任務清單!F:F,"進行中")</f>
        <v/>
      </c>
      <c r="E45">
        <f>COUNTIFS(Dashboard.xlsx!任務清單!C:C,"張三",Dashboard.xlsx!任務清單!F:F,"待辦")</f>
        <v/>
      </c>
      <c r="F45">
        <f>IFERROR(C45/B45*100,0)&amp;"%"</f>
        <v/>
      </c>
      <c r="G45">
        <f>IF(B45&gt;10,"高",IF(B45&gt;5,"中","低"))</f>
        <v/>
      </c>
    </row>
    <row r="46">
      <c r="A46" t="inlineStr">
        <is>
          <t>李四</t>
        </is>
      </c>
      <c r="B46">
        <f>COUNTIF(Dashboard.xlsx!任務清單!C:C,"李四")</f>
        <v/>
      </c>
      <c r="C46">
        <f>COUNTIFS(Dashboard.xlsx!任務清單!C:C,"李四",Dashboard.xlsx!任務清單!F:F,"已完成")</f>
        <v/>
      </c>
      <c r="D46">
        <f>COUNTIFS(Dashboard.xlsx!任務清單!C:C,"李四",Dashboard.xlsx!任務清單!F:F,"進行中")</f>
        <v/>
      </c>
      <c r="E46">
        <f>COUNTIFS(Dashboard.xlsx!任務清單!C:C,"李四",Dashboard.xlsx!任務清單!F:F,"待辦")</f>
        <v/>
      </c>
      <c r="F46">
        <f>IFERROR(C46/B46*100,0)&amp;"%"</f>
        <v/>
      </c>
      <c r="G46">
        <f>IF(B46&gt;10,"高",IF(B46&gt;5,"中","低"))</f>
        <v/>
      </c>
    </row>
    <row r="47">
      <c r="A47" t="inlineStr">
        <is>
          <t>王五</t>
        </is>
      </c>
      <c r="B47">
        <f>COUNTIF(Dashboard.xlsx!任務清單!C:C,"王五")</f>
        <v/>
      </c>
      <c r="C47">
        <f>COUNTIFS(Dashboard.xlsx!任務清單!C:C,"王五",Dashboard.xlsx!任務清單!F:F,"已完成")</f>
        <v/>
      </c>
      <c r="D47">
        <f>COUNTIFS(Dashboard.xlsx!任務清單!C:C,"王五",Dashboard.xlsx!任務清單!F:F,"進行中")</f>
        <v/>
      </c>
      <c r="E47">
        <f>COUNTIFS(Dashboard.xlsx!任務清單!C:C,"王五",Dashboard.xlsx!任務清單!F:F,"待辦")</f>
        <v/>
      </c>
      <c r="F47">
        <f>IFERROR(C47/B47*100,0)&amp;"%"</f>
        <v/>
      </c>
      <c r="G47">
        <f>IF(B47&gt;10,"高",IF(B47&gt;5,"中","低"))</f>
        <v/>
      </c>
    </row>
    <row r="48">
      <c r="A48" t="inlineStr">
        <is>
          <t>趙六</t>
        </is>
      </c>
      <c r="B48">
        <f>COUNTIF(Dashboard.xlsx!任務清單!C:C,"趙六")</f>
        <v/>
      </c>
      <c r="C48">
        <f>COUNTIFS(Dashboard.xlsx!任務清單!C:C,"趙六",Dashboard.xlsx!任務清單!F:F,"已完成")</f>
        <v/>
      </c>
      <c r="D48">
        <f>COUNTIFS(Dashboard.xlsx!任務清單!C:C,"趙六",Dashboard.xlsx!任務清單!F:F,"進行中")</f>
        <v/>
      </c>
      <c r="E48">
        <f>COUNTIFS(Dashboard.xlsx!任務清單!C:C,"趙六",Dashboard.xlsx!任務清單!F:F,"待辦")</f>
        <v/>
      </c>
      <c r="F48">
        <f>IFERROR(C48/B48*100,0)&amp;"%"</f>
        <v/>
      </c>
      <c r="G48">
        <f>IF(B48&gt;10,"高",IF(B48&gt;5,"中","低"))</f>
        <v/>
      </c>
    </row>
    <row r="49">
      <c r="A49" t="inlineStr">
        <is>
          <t>專案經理</t>
        </is>
      </c>
      <c r="B49">
        <f>COUNTIF(Dashboard.xlsx!任務清單!C:C,"專案經理")</f>
        <v/>
      </c>
      <c r="C49">
        <f>COUNTIFS(Dashboard.xlsx!任務清單!C:C,"專案經理",Dashboard.xlsx!任務清單!F:F,"已完成")</f>
        <v/>
      </c>
      <c r="D49">
        <f>COUNTIFS(Dashboard.xlsx!任務清單!C:C,"專案經理",Dashboard.xlsx!任務清單!F:F,"進行中")</f>
        <v/>
      </c>
      <c r="E49">
        <f>COUNTIFS(Dashboard.xlsx!任務清單!C:C,"專案經理",Dashboard.xlsx!任務清單!F:F,"待辦")</f>
        <v/>
      </c>
      <c r="F49">
        <f>IFERROR(C49/B49*100,0)&amp;"%"</f>
        <v/>
      </c>
      <c r="G49">
        <f>IF(B49&gt;10,"高",IF(B49&gt;5,"中","低"))</f>
        <v/>
      </c>
    </row>
    <row r="51">
      <c r="A51" s="21" t="inlineStr">
        <is>
          <t>報告產生時間：=NOW()</t>
        </is>
      </c>
    </row>
    <row r="52">
      <c r="A52" s="21" t="inlineStr">
        <is>
          <t>此報告由 I&amp;C Project Management System 自動生成</t>
        </is>
      </c>
    </row>
  </sheetData>
  <mergeCells count="15">
    <mergeCell ref="A1:J1"/>
    <mergeCell ref="A22:J22"/>
    <mergeCell ref="A9:J9"/>
    <mergeCell ref="A2:J2"/>
    <mergeCell ref="A23:J26"/>
    <mergeCell ref="A34:J34"/>
    <mergeCell ref="A17:J20"/>
    <mergeCell ref="A36:H36"/>
    <mergeCell ref="A43:J43"/>
    <mergeCell ref="A38:J38"/>
    <mergeCell ref="A16:J16"/>
    <mergeCell ref="A52:J52"/>
    <mergeCell ref="A29:J32"/>
    <mergeCell ref="A28:J28"/>
    <mergeCell ref="A51:J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2025-12-30T03:08:35Z</dcterms:created>
  <dcterms:modified xmlns:dcterms="http://purl.org/dc/terms/" xmlns:xsi="http://www.w3.org/2001/XMLSchema-instance" xsi:type="dcterms:W3CDTF">2025-12-30T03:08:35Z</dcterms:modified>
</cp:coreProperties>
</file>